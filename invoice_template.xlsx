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624EBD5B-8833-47FA-BC1C-2164990490A8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Instructions" sheetId="1" r:id="rId1"/>
    <sheet name="InvoiceList" sheetId="2" r:id="rId2"/>
  </sheets>
  <definedNames>
    <definedName name="_xlnm._FilterDatabase" localSheetId="1" hidden="1">InvoiceList!$A$1:$W$43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3" i="2" l="1"/>
  <c r="V43" i="2" s="1"/>
  <c r="R42" i="2"/>
  <c r="V42" i="2" s="1"/>
  <c r="R41" i="2"/>
  <c r="T41" i="2" s="1"/>
  <c r="R40" i="2"/>
  <c r="V40" i="2" s="1"/>
  <c r="R39" i="2"/>
  <c r="V39" i="2" s="1"/>
  <c r="R38" i="2"/>
  <c r="V38" i="2" s="1"/>
  <c r="R37" i="2"/>
  <c r="V37" i="2" s="1"/>
  <c r="R36" i="2"/>
  <c r="S36" i="2" s="1"/>
  <c r="R35" i="2"/>
  <c r="V35" i="2" s="1"/>
  <c r="R34" i="2"/>
  <c r="V34" i="2" s="1"/>
  <c r="R33" i="2"/>
  <c r="V33" i="2" s="1"/>
  <c r="R32" i="2"/>
  <c r="V32" i="2" s="1"/>
  <c r="R31" i="2"/>
  <c r="V31" i="2" s="1"/>
  <c r="R30" i="2"/>
  <c r="T30" i="2" s="1"/>
  <c r="R29" i="2"/>
  <c r="V29" i="2" s="1"/>
  <c r="R28" i="2"/>
  <c r="T28" i="2" s="1"/>
  <c r="R27" i="2"/>
  <c r="V27" i="2" s="1"/>
  <c r="R26" i="2"/>
  <c r="V26" i="2" s="1"/>
  <c r="R25" i="2"/>
  <c r="V25" i="2" s="1"/>
  <c r="R24" i="2"/>
  <c r="V24" i="2" s="1"/>
  <c r="R23" i="2"/>
  <c r="V23" i="2" s="1"/>
  <c r="R22" i="2"/>
  <c r="V22" i="2" s="1"/>
  <c r="R21" i="2"/>
  <c r="T21" i="2" s="1"/>
  <c r="R20" i="2"/>
  <c r="T20" i="2" s="1"/>
  <c r="R19" i="2"/>
  <c r="V19" i="2" s="1"/>
  <c r="R18" i="2"/>
  <c r="V18" i="2" s="1"/>
  <c r="R17" i="2"/>
  <c r="V17" i="2" s="1"/>
  <c r="R16" i="2"/>
  <c r="V16" i="2" s="1"/>
  <c r="R15" i="2"/>
  <c r="V15" i="2" s="1"/>
  <c r="R14" i="2"/>
  <c r="T14" i="2" s="1"/>
  <c r="R13" i="2"/>
  <c r="T13" i="2" s="1"/>
  <c r="R12" i="2"/>
  <c r="T12" i="2" s="1"/>
  <c r="R11" i="2"/>
  <c r="V11" i="2" s="1"/>
  <c r="R10" i="2"/>
  <c r="V10" i="2" s="1"/>
  <c r="R9" i="2"/>
  <c r="V9" i="2" s="1"/>
  <c r="R8" i="2"/>
  <c r="V8" i="2" s="1"/>
  <c r="R7" i="2"/>
  <c r="V7" i="2" s="1"/>
  <c r="R6" i="2"/>
  <c r="V6" i="2" s="1"/>
  <c r="R5" i="2"/>
  <c r="T5" i="2" s="1"/>
  <c r="R4" i="2"/>
  <c r="T4" i="2" s="1"/>
  <c r="R3" i="2"/>
  <c r="V3" i="2" s="1"/>
  <c r="R2" i="2"/>
  <c r="V2" i="2" s="1"/>
  <c r="S8" i="2" l="1"/>
  <c r="S16" i="2"/>
  <c r="S24" i="2"/>
  <c r="S32" i="2"/>
  <c r="S40" i="2"/>
  <c r="T8" i="2"/>
  <c r="T16" i="2"/>
  <c r="T24" i="2"/>
  <c r="T32" i="2"/>
  <c r="T36" i="2"/>
  <c r="V4" i="2"/>
  <c r="V12" i="2"/>
  <c r="V20" i="2"/>
  <c r="V28" i="2"/>
  <c r="V36" i="2"/>
  <c r="S5" i="2"/>
  <c r="S13" i="2"/>
  <c r="S21" i="2"/>
  <c r="S29" i="2"/>
  <c r="S37" i="2"/>
  <c r="T9" i="2"/>
  <c r="T17" i="2"/>
  <c r="T29" i="2"/>
  <c r="T37" i="2"/>
  <c r="V5" i="2"/>
  <c r="V13" i="2"/>
  <c r="V21" i="2"/>
  <c r="V41" i="2"/>
  <c r="S6" i="2"/>
  <c r="S18" i="2"/>
  <c r="S26" i="2"/>
  <c r="S34" i="2"/>
  <c r="S42" i="2"/>
  <c r="T6" i="2"/>
  <c r="T18" i="2"/>
  <c r="T26" i="2"/>
  <c r="T38" i="2"/>
  <c r="V14" i="2"/>
  <c r="V30" i="2"/>
  <c r="S4" i="2"/>
  <c r="S12" i="2"/>
  <c r="S20" i="2"/>
  <c r="S28" i="2"/>
  <c r="T40" i="2"/>
  <c r="S9" i="2"/>
  <c r="S17" i="2"/>
  <c r="S25" i="2"/>
  <c r="S33" i="2"/>
  <c r="S41" i="2"/>
  <c r="T25" i="2"/>
  <c r="T33" i="2"/>
  <c r="S10" i="2"/>
  <c r="S14" i="2"/>
  <c r="S22" i="2"/>
  <c r="S30" i="2"/>
  <c r="S38" i="2"/>
  <c r="T10" i="2"/>
  <c r="T22" i="2"/>
  <c r="T34" i="2"/>
  <c r="T42" i="2"/>
  <c r="S3" i="2"/>
  <c r="S7" i="2"/>
  <c r="S11" i="2"/>
  <c r="S15" i="2"/>
  <c r="S19" i="2"/>
  <c r="S23" i="2"/>
  <c r="S27" i="2"/>
  <c r="S31" i="2"/>
  <c r="S35" i="2"/>
  <c r="S39" i="2"/>
  <c r="S43" i="2"/>
  <c r="T3" i="2"/>
  <c r="T7" i="2"/>
  <c r="T11" i="2"/>
  <c r="T15" i="2"/>
  <c r="T19" i="2"/>
  <c r="T23" i="2"/>
  <c r="T27" i="2"/>
  <c r="T31" i="2"/>
  <c r="T35" i="2"/>
  <c r="T39" i="2"/>
  <c r="T43" i="2"/>
  <c r="S2" i="2"/>
  <c r="T2" i="2"/>
</calcChain>
</file>

<file path=xl/sharedStrings.xml><?xml version="1.0" encoding="utf-8"?>
<sst xmlns="http://schemas.openxmlformats.org/spreadsheetml/2006/main" count="180" uniqueCount="46">
  <si>
    <t>InvoiceList Instructions</t>
  </si>
  <si>
    <t/>
  </si>
  <si>
    <t>1. Invoice list is mandatory to be uploaded as it helps Nykaa inward accurately</t>
  </si>
  <si>
    <t>2. You can download the invoice list (.xlsx format) from vendor invoice tab</t>
  </si>
  <si>
    <t>3. Each PO will have a separate invoice list template available for download.
The file is pre-populated with details of the PO.</t>
  </si>
  <si>
    <t>4. Note the guidelines for filling the template:</t>
  </si>
  <si>
    <t>PO code*</t>
  </si>
  <si>
    <t>PO Line No*</t>
  </si>
  <si>
    <t>SKU code*</t>
  </si>
  <si>
    <t>Product Name*</t>
  </si>
  <si>
    <t>Vendor SKU Code*</t>
  </si>
  <si>
    <t>EAN Code</t>
  </si>
  <si>
    <t>HSN*</t>
  </si>
  <si>
    <t>PO Product MRP*</t>
  </si>
  <si>
    <t>PO Product Cost*</t>
  </si>
  <si>
    <t>PO Product Qty*</t>
  </si>
  <si>
    <t>Invoice No*</t>
  </si>
  <si>
    <t>Invoice Date*</t>
  </si>
  <si>
    <t>Invoice Qty*</t>
  </si>
  <si>
    <t>Invoice MRP*</t>
  </si>
  <si>
    <t>Invoice Cost*</t>
  </si>
  <si>
    <t>Discount</t>
  </si>
  <si>
    <t>Tax Rate*</t>
  </si>
  <si>
    <t>Line Tax Amount*</t>
  </si>
  <si>
    <t>CGST*</t>
  </si>
  <si>
    <t>SGST*</t>
  </si>
  <si>
    <t>IGST*</t>
  </si>
  <si>
    <t>Line Amount*</t>
  </si>
  <si>
    <t>Pre populated</t>
  </si>
  <si>
    <t>User Input</t>
  </si>
  <si>
    <t>Mandatory</t>
  </si>
  <si>
    <t>Optional</t>
  </si>
  <si>
    <t>optional</t>
  </si>
  <si>
    <t>Non-Editable</t>
  </si>
  <si>
    <t>Editable</t>
  </si>
  <si>
    <t>5. An example is provided below to help you understand.
Single/Multiple Invoices (Don’t modify any pre-filled values)</t>
  </si>
  <si>
    <t>NWB010101</t>
  </si>
  <si>
    <t>SKU101</t>
  </si>
  <si>
    <t>XYZ Baby Lotion Rich Moisture 200ml</t>
  </si>
  <si>
    <t>VEN101</t>
  </si>
  <si>
    <t>LIP1001</t>
  </si>
  <si>
    <t>IA2103</t>
  </si>
  <si>
    <t>01/01/2023</t>
  </si>
  <si>
    <t>6. Upload the invoice list after entering the above details. Format should be .xlsx</t>
  </si>
  <si>
    <t>7. Invoice details should follow these guidelines:
   - Invoice number cannot contain special characters other than =,+,-,@,/,|,\,*,:,[]
   - Invoice date should be less than or equal to the present date
   - Invoice quantity should be greater than zero and should not be a decimal
   - Invoice cost and MRP should not be zero
   - Invoice cost should not be greater than Invoice MRP</t>
  </si>
  <si>
    <t>8. Line Tax Amount and Line Amount should be correct as per the logic:
   Line Tax Amount = (Invoice Qty * Invoice Cost) * (Tax Rate / 100)
   Line Amount = (Invoice Qty * Invoice Cost) + (Line Tax Amount - Discount).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</si>
</sst>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Table" displayName="MyTable" ref="A7:V10">
  <autoFilter ref="A7:V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000-000001000000}" name="PO code*" totalsRowLabel="Total"/>
    <tableColumn id="2" xr3:uid="{00000000-0010-0000-0000-000002000000}" name="PO Line No*"/>
    <tableColumn id="3" xr3:uid="{00000000-0010-0000-0000-000003000000}" name="SKU code*"/>
    <tableColumn id="4" xr3:uid="{00000000-0010-0000-0000-000004000000}" name="Product Name*"/>
    <tableColumn id="5" xr3:uid="{00000000-0010-0000-0000-000005000000}" name="Vendor SKU Code*"/>
    <tableColumn id="6" xr3:uid="{00000000-0010-0000-0000-000006000000}" name="EAN Code"/>
    <tableColumn id="7" xr3:uid="{00000000-0010-0000-0000-000007000000}" name="HSN*"/>
    <tableColumn id="8" xr3:uid="{00000000-0010-0000-0000-000008000000}" name="PO Product MRP*"/>
    <tableColumn id="9" xr3:uid="{00000000-0010-0000-0000-000009000000}" name="PO Product Cost*"/>
    <tableColumn id="10" xr3:uid="{00000000-0010-0000-0000-00000A000000}" name="PO Product Qty*"/>
    <tableColumn id="11" xr3:uid="{00000000-0010-0000-0000-00000B000000}" name="Invoice No*"/>
    <tableColumn id="12" xr3:uid="{00000000-0010-0000-0000-00000C000000}" name="Invoice Date*"/>
    <tableColumn id="13" xr3:uid="{00000000-0010-0000-0000-00000D000000}" name="Invoice Qty*"/>
    <tableColumn id="14" xr3:uid="{00000000-0010-0000-0000-00000E000000}" name="Invoice MRP*"/>
    <tableColumn id="15" xr3:uid="{00000000-0010-0000-0000-00000F000000}" name="Invoice Cost*"/>
    <tableColumn id="16" xr3:uid="{00000000-0010-0000-0000-000010000000}" name="Discount"/>
    <tableColumn id="17" xr3:uid="{00000000-0010-0000-0000-000011000000}" name="Tax Rate*"/>
    <tableColumn id="18" xr3:uid="{00000000-0010-0000-0000-000012000000}" name="Line Tax Amount*"/>
    <tableColumn id="19" xr3:uid="{00000000-0010-0000-0000-000013000000}" name="CGST*"/>
    <tableColumn id="20" xr3:uid="{00000000-0010-0000-0000-000014000000}" name="SGST*"/>
    <tableColumn id="21" xr3:uid="{00000000-0010-0000-0000-000015000000}" name="IGST*"/>
    <tableColumn id="22" xr3:uid="{00000000-0010-0000-0000-000016000000}" name="Line Amount*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ultiple_Invoices" displayName="Multiple_Invoices" ref="A14:V16">
  <autoFilter ref="A14:V16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100-000001000000}" name="PO code*" totalsRowLabel="Total"/>
    <tableColumn id="2" xr3:uid="{00000000-0010-0000-0100-000002000000}" name="PO Line No*"/>
    <tableColumn id="3" xr3:uid="{00000000-0010-0000-0100-000003000000}" name="SKU code*"/>
    <tableColumn id="4" xr3:uid="{00000000-0010-0000-0100-000004000000}" name="Product Name*"/>
    <tableColumn id="5" xr3:uid="{00000000-0010-0000-0100-000005000000}" name="Vendor SKU Code*"/>
    <tableColumn id="6" xr3:uid="{00000000-0010-0000-0100-000006000000}" name="EAN Code"/>
    <tableColumn id="7" xr3:uid="{00000000-0010-0000-0100-000007000000}" name="HSN*"/>
    <tableColumn id="8" xr3:uid="{00000000-0010-0000-0100-000008000000}" name="PO Product MRP*"/>
    <tableColumn id="9" xr3:uid="{00000000-0010-0000-0100-000009000000}" name="PO Product Cost*"/>
    <tableColumn id="10" xr3:uid="{00000000-0010-0000-0100-00000A000000}" name="PO Product Qty*"/>
    <tableColumn id="11" xr3:uid="{00000000-0010-0000-0100-00000B000000}" name="Invoice No*"/>
    <tableColumn id="12" xr3:uid="{00000000-0010-0000-0100-00000C000000}" name="Invoice Date*"/>
    <tableColumn id="13" xr3:uid="{00000000-0010-0000-0100-00000D000000}" name="Invoice Qty*"/>
    <tableColumn id="14" xr3:uid="{00000000-0010-0000-0100-00000E000000}" name="Invoice MRP*"/>
    <tableColumn id="15" xr3:uid="{00000000-0010-0000-0100-00000F000000}" name="Invoice Cost*"/>
    <tableColumn id="16" xr3:uid="{00000000-0010-0000-0100-000010000000}" name="Discount"/>
    <tableColumn id="17" xr3:uid="{00000000-0010-0000-0100-000011000000}" name="Tax Rate*"/>
    <tableColumn id="18" xr3:uid="{00000000-0010-0000-0100-000012000000}" name="Line Tax Amount*"/>
    <tableColumn id="19" xr3:uid="{00000000-0010-0000-0100-000013000000}" name="CGST*"/>
    <tableColumn id="20" xr3:uid="{00000000-0010-0000-0100-000014000000}" name="SGST*"/>
    <tableColumn id="21" xr3:uid="{00000000-0010-0000-0100-000015000000}" name="IGST*"/>
    <tableColumn id="22" xr3:uid="{00000000-0010-0000-0100-000016000000}" name="Line Amount*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workbookViewId="0"/>
  </sheetViews>
  <sheetFormatPr defaultRowHeight="15" x14ac:dyDescent="0.25"/>
  <cols>
    <col min="1" max="1" width="40" customWidth="1"/>
    <col min="2" max="23" width="20" customWidth="1"/>
  </cols>
  <sheetData>
    <row r="1" spans="1:23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 x14ac:dyDescent="0.25">
      <c r="A2" s="1" t="s">
        <v>2</v>
      </c>
    </row>
    <row r="3" spans="1:23" x14ac:dyDescent="0.25">
      <c r="A3" t="s">
        <v>3</v>
      </c>
    </row>
    <row r="4" spans="1:23" x14ac:dyDescent="0.25">
      <c r="A4" t="s">
        <v>4</v>
      </c>
    </row>
    <row r="5" spans="1:23" x14ac:dyDescent="0.25">
      <c r="A5" t="s">
        <v>5</v>
      </c>
    </row>
    <row r="7" spans="1:23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</row>
    <row r="8" spans="1:23" x14ac:dyDescent="0.25">
      <c r="A8" s="3" t="s">
        <v>28</v>
      </c>
      <c r="B8" s="3" t="s">
        <v>28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29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</row>
    <row r="9" spans="1:23" x14ac:dyDescent="0.25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31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32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</row>
    <row r="10" spans="1:23" x14ac:dyDescent="0.25">
      <c r="A10" s="3" t="s">
        <v>33</v>
      </c>
      <c r="B10" s="3" t="s">
        <v>33</v>
      </c>
      <c r="C10" s="3" t="s">
        <v>33</v>
      </c>
      <c r="D10" s="3" t="s">
        <v>33</v>
      </c>
      <c r="E10" s="3" t="s">
        <v>33</v>
      </c>
      <c r="F10" s="3" t="s">
        <v>34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34</v>
      </c>
    </row>
    <row r="12" spans="1:23" x14ac:dyDescent="0.25">
      <c r="A12" t="s">
        <v>35</v>
      </c>
    </row>
    <row r="14" spans="1:23" x14ac:dyDescent="0.25">
      <c r="A14" s="4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G14" s="2" t="s">
        <v>12</v>
      </c>
      <c r="H14" s="2" t="s">
        <v>13</v>
      </c>
      <c r="I14" s="2" t="s">
        <v>14</v>
      </c>
      <c r="J14" s="2" t="s">
        <v>15</v>
      </c>
      <c r="K14" s="2" t="s">
        <v>16</v>
      </c>
      <c r="L14" s="2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  <c r="V14" s="2" t="s">
        <v>27</v>
      </c>
    </row>
    <row r="15" spans="1:23" x14ac:dyDescent="0.25">
      <c r="A15" s="3" t="s">
        <v>36</v>
      </c>
      <c r="B15" s="3">
        <v>1</v>
      </c>
      <c r="C15" s="3" t="s">
        <v>37</v>
      </c>
      <c r="D15" s="3" t="s">
        <v>38</v>
      </c>
      <c r="E15" s="3" t="s">
        <v>39</v>
      </c>
      <c r="F15" s="3" t="s">
        <v>40</v>
      </c>
      <c r="G15" s="3">
        <v>3456</v>
      </c>
      <c r="H15" s="3">
        <v>100</v>
      </c>
      <c r="I15" s="3">
        <v>80</v>
      </c>
      <c r="J15" s="3">
        <v>10</v>
      </c>
      <c r="K15" s="3" t="s">
        <v>41</v>
      </c>
      <c r="L15" s="3" t="s">
        <v>42</v>
      </c>
      <c r="M15" s="3">
        <v>5</v>
      </c>
      <c r="N15" s="3">
        <v>664.5</v>
      </c>
      <c r="O15" s="3">
        <v>700</v>
      </c>
      <c r="P15" s="3">
        <v>10</v>
      </c>
      <c r="Q15" s="3">
        <v>5</v>
      </c>
      <c r="R15" s="3">
        <v>5</v>
      </c>
      <c r="S15" s="3">
        <v>0</v>
      </c>
      <c r="T15" s="3">
        <v>10.119999999999999</v>
      </c>
      <c r="U15" s="3">
        <v>10.119999999999999</v>
      </c>
      <c r="V15" s="3">
        <v>23</v>
      </c>
    </row>
    <row r="16" spans="1:23" x14ac:dyDescent="0.25">
      <c r="A16" s="3" t="s">
        <v>36</v>
      </c>
      <c r="B16" s="3">
        <v>1</v>
      </c>
      <c r="C16" s="3" t="s">
        <v>37</v>
      </c>
      <c r="D16" s="3" t="s">
        <v>38</v>
      </c>
      <c r="E16" s="3" t="s">
        <v>39</v>
      </c>
      <c r="F16" s="3" t="s">
        <v>40</v>
      </c>
      <c r="G16" s="3">
        <v>3456</v>
      </c>
      <c r="H16" s="3">
        <v>100</v>
      </c>
      <c r="I16" s="3">
        <v>80</v>
      </c>
      <c r="J16" s="3">
        <v>10</v>
      </c>
      <c r="K16" s="3" t="s">
        <v>41</v>
      </c>
      <c r="L16" s="3" t="s">
        <v>42</v>
      </c>
      <c r="M16" s="3" t="s">
        <v>1</v>
      </c>
      <c r="N16" s="3">
        <v>664.5</v>
      </c>
      <c r="O16" s="3" t="s">
        <v>1</v>
      </c>
      <c r="P16" s="3">
        <v>10</v>
      </c>
      <c r="Q16" s="3">
        <v>5</v>
      </c>
      <c r="R16" s="3">
        <v>5</v>
      </c>
      <c r="S16" s="3">
        <v>0</v>
      </c>
      <c r="T16" s="3">
        <v>10.119999999999999</v>
      </c>
      <c r="U16" s="3">
        <v>10.119999999999999</v>
      </c>
      <c r="V16" s="3">
        <v>23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</sheetData>
  <pageMargins left="0.7" right="0.7" top="0.75" bottom="0.75" header="0.3" footer="0.3"/>
  <pageSetup orientation="portrait" horizontalDpi="4294967295" verticalDpi="429496729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tabSelected="1" workbookViewId="0">
      <selection activeCell="A2" sqref="A2"/>
    </sheetView>
  </sheetViews>
  <sheetFormatPr defaultRowHeight="15" x14ac:dyDescent="0.25"/>
  <cols>
    <col min="1" max="2" width="18" style="5" customWidth="1"/>
    <col min="3" max="3" width="18" customWidth="1"/>
    <col min="4" max="4" width="50" customWidth="1"/>
    <col min="5" max="7" width="18" style="5" customWidth="1"/>
    <col min="8" max="8" width="21" style="5" customWidth="1"/>
    <col min="9" max="22" width="18" style="5" customWidth="1"/>
    <col min="23" max="23" width="25.85546875" style="5" customWidth="1"/>
  </cols>
  <sheetData>
    <row r="1" spans="1:23" x14ac:dyDescent="0.25">
      <c r="A1" s="6" t="s">
        <v>6</v>
      </c>
      <c r="B1" s="6" t="s">
        <v>7</v>
      </c>
      <c r="C1" s="7" t="s">
        <v>8</v>
      </c>
      <c r="D1" s="7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5" t="s">
        <v>1</v>
      </c>
    </row>
    <row r="2" spans="1:23" s="8" customFormat="1" x14ac:dyDescent="0.25">
      <c r="A2" s="9"/>
      <c r="B2" s="9"/>
      <c r="E2" s="9"/>
      <c r="F2" s="9"/>
      <c r="G2" s="9"/>
      <c r="H2" s="9"/>
      <c r="I2" s="9"/>
      <c r="J2" s="9"/>
      <c r="K2" s="9"/>
      <c r="L2" s="10"/>
      <c r="M2" s="9"/>
      <c r="N2" s="9"/>
      <c r="O2" s="12"/>
      <c r="P2" s="11">
        <v>0.31</v>
      </c>
      <c r="Q2" s="9">
        <v>18</v>
      </c>
      <c r="R2" s="8">
        <f>(M2*O2)*(Q2/100)</f>
        <v>0</v>
      </c>
      <c r="S2" s="8">
        <f>R2/2</f>
        <v>0</v>
      </c>
      <c r="T2" s="8">
        <f>R2/2</f>
        <v>0</v>
      </c>
      <c r="U2">
        <v>0</v>
      </c>
      <c r="V2" s="8">
        <f>(M2*O2)+(R2-P2)</f>
        <v>-0.31</v>
      </c>
      <c r="W2" s="9"/>
    </row>
    <row r="3" spans="1:23" s="8" customFormat="1" x14ac:dyDescent="0.25">
      <c r="A3" s="9"/>
      <c r="B3" s="9"/>
      <c r="E3" s="9"/>
      <c r="F3" s="9"/>
      <c r="G3" s="9"/>
      <c r="H3" s="9"/>
      <c r="I3" s="9"/>
      <c r="J3" s="9"/>
      <c r="K3" s="9"/>
      <c r="L3" s="10"/>
      <c r="M3" s="9"/>
      <c r="N3" s="9"/>
      <c r="O3" s="12"/>
      <c r="P3" s="11">
        <v>0.31</v>
      </c>
      <c r="Q3" s="9">
        <v>18</v>
      </c>
      <c r="R3" s="8">
        <f t="shared" ref="R3:R43" si="0">(M3*O3)*(Q3/100)</f>
        <v>0</v>
      </c>
      <c r="S3" s="8">
        <f t="shared" ref="S3:S43" si="1">R3/2</f>
        <v>0</v>
      </c>
      <c r="T3" s="8">
        <f t="shared" ref="T3:T43" si="2">R3/2</f>
        <v>0</v>
      </c>
      <c r="U3">
        <v>0</v>
      </c>
      <c r="V3" s="8">
        <f t="shared" ref="V3:V43" si="3">(M3*O3)+(R3-P3)</f>
        <v>-0.31</v>
      </c>
      <c r="W3" s="9"/>
    </row>
    <row r="4" spans="1:23" s="8" customFormat="1" x14ac:dyDescent="0.25">
      <c r="A4" s="9"/>
      <c r="B4" s="9"/>
      <c r="E4" s="9"/>
      <c r="F4" s="9"/>
      <c r="G4" s="9"/>
      <c r="H4" s="9"/>
      <c r="I4" s="9"/>
      <c r="J4" s="9"/>
      <c r="K4" s="9"/>
      <c r="L4" s="10"/>
      <c r="M4" s="9"/>
      <c r="N4" s="9"/>
      <c r="O4" s="12"/>
      <c r="P4" s="11">
        <v>0.31</v>
      </c>
      <c r="Q4" s="9">
        <v>18</v>
      </c>
      <c r="R4" s="8">
        <f t="shared" si="0"/>
        <v>0</v>
      </c>
      <c r="S4" s="8">
        <f t="shared" si="1"/>
        <v>0</v>
      </c>
      <c r="T4" s="8">
        <f t="shared" si="2"/>
        <v>0</v>
      </c>
      <c r="U4">
        <v>0</v>
      </c>
      <c r="V4" s="8">
        <f t="shared" si="3"/>
        <v>-0.31</v>
      </c>
      <c r="W4" s="9"/>
    </row>
    <row r="5" spans="1:23" s="8" customFormat="1" x14ac:dyDescent="0.25">
      <c r="A5" s="9"/>
      <c r="B5" s="9"/>
      <c r="E5" s="9"/>
      <c r="F5" s="9"/>
      <c r="G5" s="9"/>
      <c r="H5" s="9"/>
      <c r="I5" s="9"/>
      <c r="J5" s="9"/>
      <c r="K5" s="9"/>
      <c r="L5" s="10"/>
      <c r="M5" s="9"/>
      <c r="N5" s="9"/>
      <c r="O5" s="12"/>
      <c r="P5" s="11">
        <v>0.31</v>
      </c>
      <c r="Q5" s="9">
        <v>18</v>
      </c>
      <c r="R5" s="8">
        <f t="shared" si="0"/>
        <v>0</v>
      </c>
      <c r="S5" s="8">
        <f t="shared" si="1"/>
        <v>0</v>
      </c>
      <c r="T5" s="8">
        <f t="shared" si="2"/>
        <v>0</v>
      </c>
      <c r="U5">
        <v>0</v>
      </c>
      <c r="V5" s="8">
        <f t="shared" si="3"/>
        <v>-0.31</v>
      </c>
      <c r="W5" s="9"/>
    </row>
    <row r="6" spans="1:23" s="8" customFormat="1" x14ac:dyDescent="0.25">
      <c r="A6" s="9"/>
      <c r="B6" s="9"/>
      <c r="E6" s="9"/>
      <c r="F6" s="9"/>
      <c r="G6" s="9"/>
      <c r="H6" s="9"/>
      <c r="I6" s="9"/>
      <c r="J6" s="9"/>
      <c r="K6" s="9"/>
      <c r="L6" s="10"/>
      <c r="M6" s="9"/>
      <c r="N6" s="9"/>
      <c r="O6" s="12"/>
      <c r="P6" s="11">
        <v>0.31</v>
      </c>
      <c r="Q6" s="9">
        <v>18</v>
      </c>
      <c r="R6" s="8">
        <f t="shared" si="0"/>
        <v>0</v>
      </c>
      <c r="S6" s="8">
        <f t="shared" si="1"/>
        <v>0</v>
      </c>
      <c r="T6" s="8">
        <f t="shared" si="2"/>
        <v>0</v>
      </c>
      <c r="U6">
        <v>0</v>
      </c>
      <c r="V6" s="8">
        <f t="shared" si="3"/>
        <v>-0.31</v>
      </c>
      <c r="W6" s="9"/>
    </row>
    <row r="7" spans="1:23" s="8" customFormat="1" x14ac:dyDescent="0.25">
      <c r="A7" s="9"/>
      <c r="B7" s="9"/>
      <c r="E7" s="9"/>
      <c r="F7" s="9"/>
      <c r="G7" s="9"/>
      <c r="H7" s="9"/>
      <c r="I7" s="9"/>
      <c r="J7" s="9"/>
      <c r="K7" s="9"/>
      <c r="L7" s="10"/>
      <c r="M7" s="9"/>
      <c r="N7" s="9"/>
      <c r="O7" s="12"/>
      <c r="P7" s="11">
        <v>0.31</v>
      </c>
      <c r="Q7" s="9">
        <v>18</v>
      </c>
      <c r="R7" s="8">
        <f t="shared" si="0"/>
        <v>0</v>
      </c>
      <c r="S7" s="8">
        <f t="shared" si="1"/>
        <v>0</v>
      </c>
      <c r="T7" s="8">
        <f t="shared" si="2"/>
        <v>0</v>
      </c>
      <c r="U7">
        <v>0</v>
      </c>
      <c r="V7" s="8">
        <f t="shared" si="3"/>
        <v>-0.31</v>
      </c>
      <c r="W7" s="9"/>
    </row>
    <row r="8" spans="1:23" s="8" customFormat="1" x14ac:dyDescent="0.25">
      <c r="A8" s="9"/>
      <c r="B8" s="9"/>
      <c r="E8" s="9"/>
      <c r="F8" s="9"/>
      <c r="G8" s="9"/>
      <c r="H8" s="9"/>
      <c r="I8" s="9"/>
      <c r="J8" s="9"/>
      <c r="K8" s="9"/>
      <c r="L8" s="10"/>
      <c r="M8" s="9"/>
      <c r="N8" s="9"/>
      <c r="O8" s="12"/>
      <c r="P8" s="11">
        <v>0.31</v>
      </c>
      <c r="Q8" s="9">
        <v>18</v>
      </c>
      <c r="R8" s="8">
        <f t="shared" si="0"/>
        <v>0</v>
      </c>
      <c r="S8" s="8">
        <f t="shared" si="1"/>
        <v>0</v>
      </c>
      <c r="T8" s="8">
        <f t="shared" si="2"/>
        <v>0</v>
      </c>
      <c r="U8">
        <v>0</v>
      </c>
      <c r="V8" s="8">
        <f t="shared" si="3"/>
        <v>-0.31</v>
      </c>
      <c r="W8" s="9"/>
    </row>
    <row r="9" spans="1:23" s="8" customFormat="1" x14ac:dyDescent="0.25">
      <c r="A9" s="9"/>
      <c r="B9" s="9"/>
      <c r="E9" s="9"/>
      <c r="F9" s="9"/>
      <c r="G9" s="9"/>
      <c r="H9" s="9"/>
      <c r="I9" s="9"/>
      <c r="J9" s="9"/>
      <c r="K9" s="9"/>
      <c r="L9" s="10"/>
      <c r="M9" s="9"/>
      <c r="N9" s="9"/>
      <c r="O9" s="12"/>
      <c r="P9" s="11">
        <v>0.31</v>
      </c>
      <c r="Q9" s="9">
        <v>18</v>
      </c>
      <c r="R9" s="8">
        <f t="shared" si="0"/>
        <v>0</v>
      </c>
      <c r="S9" s="8">
        <f t="shared" si="1"/>
        <v>0</v>
      </c>
      <c r="T9" s="8">
        <f t="shared" si="2"/>
        <v>0</v>
      </c>
      <c r="U9">
        <v>0</v>
      </c>
      <c r="V9" s="8">
        <f t="shared" si="3"/>
        <v>-0.31</v>
      </c>
      <c r="W9" s="9"/>
    </row>
    <row r="10" spans="1:23" s="8" customFormat="1" x14ac:dyDescent="0.25">
      <c r="A10" s="9"/>
      <c r="B10" s="9"/>
      <c r="E10" s="9"/>
      <c r="F10" s="9"/>
      <c r="G10" s="9"/>
      <c r="H10" s="9"/>
      <c r="I10" s="9"/>
      <c r="J10" s="9"/>
      <c r="K10" s="9"/>
      <c r="L10" s="10"/>
      <c r="M10" s="9"/>
      <c r="N10" s="9"/>
      <c r="O10" s="12"/>
      <c r="P10" s="11">
        <v>0.31</v>
      </c>
      <c r="Q10" s="9">
        <v>18</v>
      </c>
      <c r="R10" s="8">
        <f t="shared" si="0"/>
        <v>0</v>
      </c>
      <c r="S10" s="8">
        <f t="shared" si="1"/>
        <v>0</v>
      </c>
      <c r="T10" s="8">
        <f t="shared" si="2"/>
        <v>0</v>
      </c>
      <c r="U10">
        <v>0</v>
      </c>
      <c r="V10" s="8">
        <f t="shared" si="3"/>
        <v>-0.31</v>
      </c>
      <c r="W10" s="9"/>
    </row>
    <row r="11" spans="1:23" s="8" customFormat="1" x14ac:dyDescent="0.25">
      <c r="A11" s="9"/>
      <c r="B11" s="9"/>
      <c r="E11" s="9"/>
      <c r="F11" s="9"/>
      <c r="G11" s="9"/>
      <c r="H11" s="9"/>
      <c r="I11" s="9"/>
      <c r="J11" s="9"/>
      <c r="K11" s="9"/>
      <c r="L11" s="10"/>
      <c r="M11" s="9"/>
      <c r="N11" s="9"/>
      <c r="O11" s="12"/>
      <c r="P11" s="11">
        <v>0.31</v>
      </c>
      <c r="Q11" s="9">
        <v>5</v>
      </c>
      <c r="R11" s="8">
        <f t="shared" si="0"/>
        <v>0</v>
      </c>
      <c r="S11" s="8">
        <f t="shared" si="1"/>
        <v>0</v>
      </c>
      <c r="T11" s="8">
        <f t="shared" si="2"/>
        <v>0</v>
      </c>
      <c r="U11">
        <v>0</v>
      </c>
      <c r="V11" s="8">
        <f t="shared" si="3"/>
        <v>-0.31</v>
      </c>
      <c r="W11" s="9"/>
    </row>
    <row r="12" spans="1:23" s="8" customFormat="1" x14ac:dyDescent="0.25">
      <c r="A12" s="9"/>
      <c r="B12" s="9"/>
      <c r="E12" s="9"/>
      <c r="F12" s="9"/>
      <c r="G12" s="9"/>
      <c r="H12" s="9"/>
      <c r="I12" s="9"/>
      <c r="J12" s="9"/>
      <c r="K12" s="9"/>
      <c r="L12" s="10"/>
      <c r="M12" s="9"/>
      <c r="N12" s="9"/>
      <c r="O12" s="12"/>
      <c r="P12" s="11">
        <v>0.31</v>
      </c>
      <c r="Q12" s="9">
        <v>5</v>
      </c>
      <c r="R12" s="8">
        <f t="shared" si="0"/>
        <v>0</v>
      </c>
      <c r="S12" s="8">
        <f t="shared" si="1"/>
        <v>0</v>
      </c>
      <c r="T12" s="8">
        <f t="shared" si="2"/>
        <v>0</v>
      </c>
      <c r="U12">
        <v>0</v>
      </c>
      <c r="V12" s="8">
        <f t="shared" si="3"/>
        <v>-0.31</v>
      </c>
      <c r="W12" s="9"/>
    </row>
    <row r="13" spans="1:23" s="8" customFormat="1" x14ac:dyDescent="0.25">
      <c r="A13" s="9"/>
      <c r="B13" s="9"/>
      <c r="E13" s="9"/>
      <c r="F13" s="9"/>
      <c r="G13" s="9"/>
      <c r="H13" s="9"/>
      <c r="I13" s="9"/>
      <c r="J13" s="9"/>
      <c r="K13" s="9"/>
      <c r="L13" s="10"/>
      <c r="M13" s="9"/>
      <c r="N13" s="9"/>
      <c r="O13" s="12"/>
      <c r="P13" s="11">
        <v>0.31</v>
      </c>
      <c r="Q13" s="9">
        <v>5</v>
      </c>
      <c r="R13" s="8">
        <f t="shared" si="0"/>
        <v>0</v>
      </c>
      <c r="S13" s="8">
        <f t="shared" si="1"/>
        <v>0</v>
      </c>
      <c r="T13" s="8">
        <f t="shared" si="2"/>
        <v>0</v>
      </c>
      <c r="U13">
        <v>0</v>
      </c>
      <c r="V13" s="8">
        <f t="shared" si="3"/>
        <v>-0.31</v>
      </c>
      <c r="W13" s="9"/>
    </row>
    <row r="14" spans="1:23" s="8" customFormat="1" x14ac:dyDescent="0.25">
      <c r="A14" s="9"/>
      <c r="B14" s="9"/>
      <c r="E14" s="9"/>
      <c r="F14" s="9"/>
      <c r="G14" s="9"/>
      <c r="H14" s="9"/>
      <c r="I14" s="9"/>
      <c r="J14" s="9"/>
      <c r="K14" s="9"/>
      <c r="L14" s="10"/>
      <c r="M14" s="9"/>
      <c r="N14" s="9"/>
      <c r="O14" s="12"/>
      <c r="P14" s="11">
        <v>0.31</v>
      </c>
      <c r="Q14" s="9">
        <v>18</v>
      </c>
      <c r="R14" s="8">
        <f t="shared" si="0"/>
        <v>0</v>
      </c>
      <c r="S14" s="8">
        <f t="shared" si="1"/>
        <v>0</v>
      </c>
      <c r="T14" s="8">
        <f t="shared" si="2"/>
        <v>0</v>
      </c>
      <c r="U14">
        <v>0</v>
      </c>
      <c r="V14" s="8">
        <f t="shared" si="3"/>
        <v>-0.31</v>
      </c>
      <c r="W14" s="9"/>
    </row>
    <row r="15" spans="1:23" s="8" customFormat="1" x14ac:dyDescent="0.25">
      <c r="A15" s="9"/>
      <c r="B15" s="9"/>
      <c r="E15" s="9"/>
      <c r="F15" s="9"/>
      <c r="G15" s="9"/>
      <c r="H15" s="9"/>
      <c r="I15" s="9"/>
      <c r="J15" s="9"/>
      <c r="K15" s="9"/>
      <c r="L15" s="10"/>
      <c r="M15" s="9"/>
      <c r="N15" s="9"/>
      <c r="O15" s="12"/>
      <c r="P15" s="11">
        <v>0.31</v>
      </c>
      <c r="Q15" s="9">
        <v>5</v>
      </c>
      <c r="R15" s="8">
        <f t="shared" si="0"/>
        <v>0</v>
      </c>
      <c r="S15" s="8">
        <f t="shared" si="1"/>
        <v>0</v>
      </c>
      <c r="T15" s="8">
        <f t="shared" si="2"/>
        <v>0</v>
      </c>
      <c r="U15">
        <v>0</v>
      </c>
      <c r="V15" s="8">
        <f t="shared" si="3"/>
        <v>-0.31</v>
      </c>
      <c r="W15" s="9"/>
    </row>
    <row r="16" spans="1:23" s="8" customFormat="1" x14ac:dyDescent="0.25">
      <c r="A16" s="9"/>
      <c r="B16" s="9"/>
      <c r="E16" s="9"/>
      <c r="F16" s="9"/>
      <c r="G16" s="9"/>
      <c r="H16" s="9"/>
      <c r="I16" s="9"/>
      <c r="J16" s="9"/>
      <c r="K16" s="9"/>
      <c r="L16" s="10"/>
      <c r="M16" s="9"/>
      <c r="N16" s="9"/>
      <c r="O16" s="12"/>
      <c r="P16" s="11">
        <v>0.31</v>
      </c>
      <c r="Q16" s="9">
        <v>18</v>
      </c>
      <c r="R16" s="8">
        <f t="shared" si="0"/>
        <v>0</v>
      </c>
      <c r="S16" s="8">
        <f t="shared" si="1"/>
        <v>0</v>
      </c>
      <c r="T16" s="8">
        <f t="shared" si="2"/>
        <v>0</v>
      </c>
      <c r="U16">
        <v>0</v>
      </c>
      <c r="V16" s="8">
        <f t="shared" si="3"/>
        <v>-0.31</v>
      </c>
      <c r="W16" s="9"/>
    </row>
    <row r="17" spans="1:23" s="8" customFormat="1" x14ac:dyDescent="0.25">
      <c r="A17" s="9"/>
      <c r="B17" s="9"/>
      <c r="E17" s="9"/>
      <c r="F17" s="9"/>
      <c r="G17" s="9"/>
      <c r="H17" s="9"/>
      <c r="I17" s="9"/>
      <c r="J17" s="9"/>
      <c r="K17" s="9"/>
      <c r="L17" s="10"/>
      <c r="M17" s="9"/>
      <c r="N17" s="9"/>
      <c r="O17" s="12"/>
      <c r="P17" s="11">
        <v>0.31</v>
      </c>
      <c r="Q17" s="9">
        <v>18</v>
      </c>
      <c r="R17" s="8">
        <f t="shared" si="0"/>
        <v>0</v>
      </c>
      <c r="S17" s="8">
        <f t="shared" si="1"/>
        <v>0</v>
      </c>
      <c r="T17" s="8">
        <f t="shared" si="2"/>
        <v>0</v>
      </c>
      <c r="U17">
        <v>0</v>
      </c>
      <c r="V17" s="8">
        <f t="shared" si="3"/>
        <v>-0.31</v>
      </c>
      <c r="W17" s="9"/>
    </row>
    <row r="18" spans="1:23" s="8" customFormat="1" x14ac:dyDescent="0.25">
      <c r="A18" s="9"/>
      <c r="B18" s="9"/>
      <c r="E18" s="9"/>
      <c r="F18" s="9"/>
      <c r="G18" s="9"/>
      <c r="H18" s="9"/>
      <c r="I18" s="9"/>
      <c r="J18" s="9"/>
      <c r="K18" s="9"/>
      <c r="L18" s="10"/>
      <c r="M18" s="9"/>
      <c r="N18" s="9"/>
      <c r="O18" s="12"/>
      <c r="P18" s="11">
        <v>0.31</v>
      </c>
      <c r="Q18" s="9">
        <v>18</v>
      </c>
      <c r="R18" s="8">
        <f t="shared" si="0"/>
        <v>0</v>
      </c>
      <c r="S18" s="8">
        <f t="shared" si="1"/>
        <v>0</v>
      </c>
      <c r="T18" s="8">
        <f t="shared" si="2"/>
        <v>0</v>
      </c>
      <c r="U18">
        <v>0</v>
      </c>
      <c r="V18" s="8">
        <f t="shared" si="3"/>
        <v>-0.31</v>
      </c>
      <c r="W18" s="9"/>
    </row>
    <row r="19" spans="1:23" s="8" customFormat="1" x14ac:dyDescent="0.25">
      <c r="A19" s="9"/>
      <c r="B19" s="9"/>
      <c r="E19" s="9"/>
      <c r="F19" s="9"/>
      <c r="G19" s="9"/>
      <c r="H19" s="9"/>
      <c r="I19" s="9"/>
      <c r="J19" s="9"/>
      <c r="K19" s="9"/>
      <c r="L19" s="10"/>
      <c r="M19" s="9"/>
      <c r="N19" s="9"/>
      <c r="O19" s="12"/>
      <c r="P19" s="11">
        <v>0.31</v>
      </c>
      <c r="Q19" s="9">
        <v>18</v>
      </c>
      <c r="R19" s="8">
        <f t="shared" si="0"/>
        <v>0</v>
      </c>
      <c r="S19" s="8">
        <f t="shared" si="1"/>
        <v>0</v>
      </c>
      <c r="T19" s="8">
        <f t="shared" si="2"/>
        <v>0</v>
      </c>
      <c r="U19">
        <v>0</v>
      </c>
      <c r="V19" s="8">
        <f t="shared" si="3"/>
        <v>-0.31</v>
      </c>
      <c r="W19" s="9"/>
    </row>
    <row r="20" spans="1:23" s="8" customFormat="1" x14ac:dyDescent="0.25">
      <c r="A20" s="9"/>
      <c r="B20" s="9"/>
      <c r="E20" s="9"/>
      <c r="F20" s="9"/>
      <c r="G20" s="9"/>
      <c r="H20" s="9"/>
      <c r="I20" s="9"/>
      <c r="J20" s="9"/>
      <c r="K20" s="9"/>
      <c r="L20" s="10"/>
      <c r="M20" s="9"/>
      <c r="N20" s="9"/>
      <c r="O20" s="12"/>
      <c r="P20" s="11">
        <v>0.31</v>
      </c>
      <c r="Q20" s="9">
        <v>18</v>
      </c>
      <c r="R20" s="8">
        <f t="shared" si="0"/>
        <v>0</v>
      </c>
      <c r="S20" s="8">
        <f t="shared" si="1"/>
        <v>0</v>
      </c>
      <c r="T20" s="8">
        <f t="shared" si="2"/>
        <v>0</v>
      </c>
      <c r="U20">
        <v>0</v>
      </c>
      <c r="V20" s="8">
        <f t="shared" si="3"/>
        <v>-0.31</v>
      </c>
      <c r="W20" s="9"/>
    </row>
    <row r="21" spans="1:23" s="8" customFormat="1" x14ac:dyDescent="0.25">
      <c r="A21" s="9"/>
      <c r="B21" s="9"/>
      <c r="E21" s="9"/>
      <c r="F21" s="9"/>
      <c r="G21" s="9"/>
      <c r="H21" s="9"/>
      <c r="I21" s="9"/>
      <c r="J21" s="9"/>
      <c r="K21" s="9"/>
      <c r="L21" s="10"/>
      <c r="M21" s="9"/>
      <c r="N21" s="9"/>
      <c r="O21" s="12"/>
      <c r="P21" s="11">
        <v>0.31</v>
      </c>
      <c r="Q21" s="9">
        <v>18</v>
      </c>
      <c r="R21" s="8">
        <f t="shared" si="0"/>
        <v>0</v>
      </c>
      <c r="S21" s="8">
        <f t="shared" si="1"/>
        <v>0</v>
      </c>
      <c r="T21" s="8">
        <f t="shared" si="2"/>
        <v>0</v>
      </c>
      <c r="U21">
        <v>0</v>
      </c>
      <c r="V21" s="8">
        <f t="shared" si="3"/>
        <v>-0.31</v>
      </c>
      <c r="W21" s="9"/>
    </row>
    <row r="22" spans="1:23" s="8" customFormat="1" x14ac:dyDescent="0.25">
      <c r="A22" s="9"/>
      <c r="B22" s="9"/>
      <c r="E22" s="9"/>
      <c r="F22" s="9"/>
      <c r="G22" s="9"/>
      <c r="H22" s="9"/>
      <c r="I22" s="9"/>
      <c r="J22" s="9"/>
      <c r="K22" s="9"/>
      <c r="L22" s="10"/>
      <c r="M22" s="9"/>
      <c r="N22" s="9"/>
      <c r="O22" s="12"/>
      <c r="P22" s="11">
        <v>0.31</v>
      </c>
      <c r="Q22" s="9">
        <v>5</v>
      </c>
      <c r="R22" s="8">
        <f t="shared" si="0"/>
        <v>0</v>
      </c>
      <c r="S22" s="8">
        <f t="shared" si="1"/>
        <v>0</v>
      </c>
      <c r="T22" s="8">
        <f t="shared" si="2"/>
        <v>0</v>
      </c>
      <c r="U22">
        <v>0</v>
      </c>
      <c r="V22" s="8">
        <f t="shared" si="3"/>
        <v>-0.31</v>
      </c>
      <c r="W22" s="9"/>
    </row>
    <row r="23" spans="1:23" s="8" customFormat="1" x14ac:dyDescent="0.25">
      <c r="A23" s="9"/>
      <c r="B23" s="9"/>
      <c r="E23" s="9"/>
      <c r="F23" s="9"/>
      <c r="G23" s="9"/>
      <c r="H23" s="9"/>
      <c r="I23" s="9"/>
      <c r="J23" s="9"/>
      <c r="K23" s="9"/>
      <c r="L23" s="10"/>
      <c r="M23" s="9"/>
      <c r="N23" s="9"/>
      <c r="O23" s="12"/>
      <c r="P23" s="11">
        <v>0.31</v>
      </c>
      <c r="Q23" s="9">
        <v>18</v>
      </c>
      <c r="R23" s="8">
        <f t="shared" si="0"/>
        <v>0</v>
      </c>
      <c r="S23" s="8">
        <f t="shared" si="1"/>
        <v>0</v>
      </c>
      <c r="T23" s="8">
        <f t="shared" si="2"/>
        <v>0</v>
      </c>
      <c r="U23">
        <v>0</v>
      </c>
      <c r="V23" s="8">
        <f t="shared" si="3"/>
        <v>-0.31</v>
      </c>
      <c r="W23" s="9"/>
    </row>
    <row r="24" spans="1:23" s="8" customFormat="1" x14ac:dyDescent="0.25">
      <c r="A24" s="9"/>
      <c r="B24" s="9"/>
      <c r="E24" s="9"/>
      <c r="F24" s="9"/>
      <c r="G24" s="9"/>
      <c r="H24" s="9"/>
      <c r="I24" s="9"/>
      <c r="J24" s="9"/>
      <c r="K24" s="9"/>
      <c r="L24" s="10"/>
      <c r="M24" s="9"/>
      <c r="N24" s="9"/>
      <c r="O24" s="12"/>
      <c r="P24" s="11">
        <v>0.31</v>
      </c>
      <c r="Q24" s="9">
        <v>18</v>
      </c>
      <c r="R24" s="8">
        <f t="shared" si="0"/>
        <v>0</v>
      </c>
      <c r="S24" s="8">
        <f t="shared" si="1"/>
        <v>0</v>
      </c>
      <c r="T24" s="8">
        <f t="shared" si="2"/>
        <v>0</v>
      </c>
      <c r="U24">
        <v>0</v>
      </c>
      <c r="V24" s="8">
        <f t="shared" si="3"/>
        <v>-0.31</v>
      </c>
      <c r="W24" s="9"/>
    </row>
    <row r="25" spans="1:23" s="8" customFormat="1" x14ac:dyDescent="0.25">
      <c r="A25" s="9"/>
      <c r="B25" s="9"/>
      <c r="E25" s="9"/>
      <c r="F25" s="9"/>
      <c r="G25" s="9"/>
      <c r="H25" s="9"/>
      <c r="I25" s="9"/>
      <c r="J25" s="9"/>
      <c r="K25" s="9"/>
      <c r="L25" s="10"/>
      <c r="M25" s="9"/>
      <c r="N25" s="9"/>
      <c r="O25" s="12"/>
      <c r="P25" s="11">
        <v>0.31</v>
      </c>
      <c r="Q25" s="9">
        <v>18</v>
      </c>
      <c r="R25" s="8">
        <f t="shared" si="0"/>
        <v>0</v>
      </c>
      <c r="S25" s="8">
        <f t="shared" si="1"/>
        <v>0</v>
      </c>
      <c r="T25" s="8">
        <f t="shared" si="2"/>
        <v>0</v>
      </c>
      <c r="U25">
        <v>0</v>
      </c>
      <c r="V25" s="8">
        <f t="shared" si="3"/>
        <v>-0.31</v>
      </c>
      <c r="W25" s="9"/>
    </row>
    <row r="26" spans="1:23" s="8" customFormat="1" x14ac:dyDescent="0.25">
      <c r="A26" s="9"/>
      <c r="B26" s="9"/>
      <c r="E26" s="9"/>
      <c r="F26" s="9"/>
      <c r="G26" s="9"/>
      <c r="H26" s="9"/>
      <c r="I26" s="9"/>
      <c r="J26" s="9"/>
      <c r="K26" s="9"/>
      <c r="L26" s="10"/>
      <c r="M26" s="9"/>
      <c r="N26" s="9"/>
      <c r="O26" s="12"/>
      <c r="P26" s="11">
        <v>0.31</v>
      </c>
      <c r="Q26" s="9">
        <v>5</v>
      </c>
      <c r="R26" s="8">
        <f t="shared" si="0"/>
        <v>0</v>
      </c>
      <c r="S26" s="8">
        <f t="shared" si="1"/>
        <v>0</v>
      </c>
      <c r="T26" s="8">
        <f t="shared" si="2"/>
        <v>0</v>
      </c>
      <c r="U26">
        <v>0</v>
      </c>
      <c r="V26" s="8">
        <f t="shared" si="3"/>
        <v>-0.31</v>
      </c>
      <c r="W26" s="9"/>
    </row>
    <row r="27" spans="1:23" s="8" customFormat="1" x14ac:dyDescent="0.25">
      <c r="A27" s="9"/>
      <c r="B27" s="9"/>
      <c r="E27" s="9"/>
      <c r="F27" s="9"/>
      <c r="G27" s="9"/>
      <c r="H27" s="9"/>
      <c r="I27" s="9"/>
      <c r="J27" s="9"/>
      <c r="K27" s="9"/>
      <c r="L27" s="10"/>
      <c r="M27" s="9"/>
      <c r="N27" s="9"/>
      <c r="O27" s="12"/>
      <c r="P27" s="11">
        <v>0.31</v>
      </c>
      <c r="Q27" s="9">
        <v>5</v>
      </c>
      <c r="R27" s="8">
        <f t="shared" si="0"/>
        <v>0</v>
      </c>
      <c r="S27" s="8">
        <f t="shared" si="1"/>
        <v>0</v>
      </c>
      <c r="T27" s="8">
        <f t="shared" si="2"/>
        <v>0</v>
      </c>
      <c r="U27">
        <v>0</v>
      </c>
      <c r="V27" s="8">
        <f t="shared" si="3"/>
        <v>-0.31</v>
      </c>
      <c r="W27" s="9"/>
    </row>
    <row r="28" spans="1:23" s="8" customFormat="1" x14ac:dyDescent="0.25">
      <c r="A28" s="9"/>
      <c r="B28" s="9"/>
      <c r="E28" s="9"/>
      <c r="F28" s="9"/>
      <c r="G28" s="9"/>
      <c r="H28" s="9"/>
      <c r="I28" s="9"/>
      <c r="J28" s="9"/>
      <c r="K28" s="9"/>
      <c r="L28" s="10"/>
      <c r="M28" s="9"/>
      <c r="N28" s="9"/>
      <c r="O28" s="12"/>
      <c r="P28" s="11">
        <v>0.31</v>
      </c>
      <c r="Q28" s="9">
        <v>18</v>
      </c>
      <c r="R28" s="8">
        <f t="shared" si="0"/>
        <v>0</v>
      </c>
      <c r="S28" s="8">
        <f t="shared" si="1"/>
        <v>0</v>
      </c>
      <c r="T28" s="8">
        <f t="shared" si="2"/>
        <v>0</v>
      </c>
      <c r="U28">
        <v>0</v>
      </c>
      <c r="V28" s="8">
        <f t="shared" si="3"/>
        <v>-0.31</v>
      </c>
      <c r="W28" s="9"/>
    </row>
    <row r="29" spans="1:23" s="8" customFormat="1" x14ac:dyDescent="0.25">
      <c r="A29" s="9"/>
      <c r="B29" s="9"/>
      <c r="E29" s="9"/>
      <c r="F29" s="9"/>
      <c r="G29" s="9"/>
      <c r="H29" s="9"/>
      <c r="I29" s="9"/>
      <c r="J29" s="9"/>
      <c r="K29" s="9"/>
      <c r="L29" s="10"/>
      <c r="M29" s="9"/>
      <c r="N29" s="9"/>
      <c r="O29" s="12"/>
      <c r="P29" s="11">
        <v>0.31</v>
      </c>
      <c r="Q29" s="9">
        <v>18</v>
      </c>
      <c r="R29" s="8">
        <f t="shared" si="0"/>
        <v>0</v>
      </c>
      <c r="S29" s="8">
        <f t="shared" si="1"/>
        <v>0</v>
      </c>
      <c r="T29" s="8">
        <f t="shared" si="2"/>
        <v>0</v>
      </c>
      <c r="U29">
        <v>0</v>
      </c>
      <c r="V29" s="8">
        <f t="shared" si="3"/>
        <v>-0.31</v>
      </c>
      <c r="W29" s="9"/>
    </row>
    <row r="30" spans="1:23" s="8" customFormat="1" x14ac:dyDescent="0.25">
      <c r="A30" s="9"/>
      <c r="B30" s="9"/>
      <c r="E30" s="9"/>
      <c r="F30" s="9"/>
      <c r="G30" s="9"/>
      <c r="H30" s="9"/>
      <c r="I30" s="9"/>
      <c r="J30" s="9"/>
      <c r="K30" s="9"/>
      <c r="L30" s="10"/>
      <c r="M30" s="9"/>
      <c r="N30" s="9"/>
      <c r="O30" s="12"/>
      <c r="P30" s="11">
        <v>0.31</v>
      </c>
      <c r="Q30" s="9">
        <v>18</v>
      </c>
      <c r="R30" s="8">
        <f t="shared" si="0"/>
        <v>0</v>
      </c>
      <c r="S30" s="8">
        <f t="shared" si="1"/>
        <v>0</v>
      </c>
      <c r="T30" s="8">
        <f t="shared" si="2"/>
        <v>0</v>
      </c>
      <c r="U30">
        <v>0</v>
      </c>
      <c r="V30" s="8">
        <f t="shared" si="3"/>
        <v>-0.31</v>
      </c>
      <c r="W30" s="9"/>
    </row>
    <row r="31" spans="1:23" s="8" customFormat="1" x14ac:dyDescent="0.25">
      <c r="A31" s="9"/>
      <c r="B31" s="9"/>
      <c r="E31" s="9"/>
      <c r="F31" s="9"/>
      <c r="G31" s="9"/>
      <c r="H31" s="9"/>
      <c r="I31" s="9"/>
      <c r="J31" s="9"/>
      <c r="K31" s="9"/>
      <c r="L31" s="10"/>
      <c r="M31" s="9"/>
      <c r="N31" s="9"/>
      <c r="O31" s="12"/>
      <c r="P31" s="11">
        <v>0.31</v>
      </c>
      <c r="Q31" s="9">
        <v>18</v>
      </c>
      <c r="R31" s="8">
        <f t="shared" si="0"/>
        <v>0</v>
      </c>
      <c r="S31" s="8">
        <f t="shared" si="1"/>
        <v>0</v>
      </c>
      <c r="T31" s="8">
        <f t="shared" si="2"/>
        <v>0</v>
      </c>
      <c r="U31">
        <v>0</v>
      </c>
      <c r="V31" s="8">
        <f t="shared" si="3"/>
        <v>-0.31</v>
      </c>
      <c r="W31" s="9"/>
    </row>
    <row r="32" spans="1:23" s="8" customFormat="1" x14ac:dyDescent="0.25">
      <c r="A32" s="9"/>
      <c r="B32" s="9"/>
      <c r="E32" s="9"/>
      <c r="F32" s="9"/>
      <c r="G32" s="9"/>
      <c r="H32" s="9"/>
      <c r="I32" s="9"/>
      <c r="J32" s="9"/>
      <c r="K32" s="9"/>
      <c r="L32" s="10"/>
      <c r="M32" s="9"/>
      <c r="N32" s="9"/>
      <c r="O32" s="12"/>
      <c r="P32" s="11">
        <v>0.31</v>
      </c>
      <c r="Q32" s="9">
        <v>18</v>
      </c>
      <c r="R32" s="8">
        <f t="shared" si="0"/>
        <v>0</v>
      </c>
      <c r="S32" s="8">
        <f t="shared" si="1"/>
        <v>0</v>
      </c>
      <c r="T32" s="8">
        <f t="shared" si="2"/>
        <v>0</v>
      </c>
      <c r="U32">
        <v>0</v>
      </c>
      <c r="V32" s="8">
        <f t="shared" si="3"/>
        <v>-0.31</v>
      </c>
      <c r="W32" s="9"/>
    </row>
    <row r="33" spans="1:23" s="8" customFormat="1" x14ac:dyDescent="0.25">
      <c r="A33" s="9"/>
      <c r="B33" s="9"/>
      <c r="E33" s="9"/>
      <c r="F33" s="9"/>
      <c r="G33" s="9"/>
      <c r="H33" s="9"/>
      <c r="I33" s="9"/>
      <c r="J33" s="9"/>
      <c r="K33" s="9"/>
      <c r="L33" s="10"/>
      <c r="M33" s="9"/>
      <c r="N33" s="9"/>
      <c r="O33" s="12"/>
      <c r="P33" s="11">
        <v>0.31</v>
      </c>
      <c r="Q33" s="9">
        <v>18</v>
      </c>
      <c r="R33" s="8">
        <f t="shared" si="0"/>
        <v>0</v>
      </c>
      <c r="S33" s="8">
        <f t="shared" si="1"/>
        <v>0</v>
      </c>
      <c r="T33" s="8">
        <f t="shared" si="2"/>
        <v>0</v>
      </c>
      <c r="U33">
        <v>0</v>
      </c>
      <c r="V33" s="8">
        <f t="shared" si="3"/>
        <v>-0.31</v>
      </c>
      <c r="W33" s="9"/>
    </row>
    <row r="34" spans="1:23" s="8" customFormat="1" x14ac:dyDescent="0.25">
      <c r="A34" s="9"/>
      <c r="B34" s="9"/>
      <c r="E34" s="9"/>
      <c r="F34" s="9"/>
      <c r="G34" s="9"/>
      <c r="H34" s="9"/>
      <c r="I34" s="9"/>
      <c r="J34" s="9"/>
      <c r="K34" s="9"/>
      <c r="L34" s="10"/>
      <c r="M34" s="9"/>
      <c r="N34" s="9"/>
      <c r="O34" s="12"/>
      <c r="P34" s="11">
        <v>0.31</v>
      </c>
      <c r="Q34" s="9">
        <v>18</v>
      </c>
      <c r="R34" s="8">
        <f t="shared" si="0"/>
        <v>0</v>
      </c>
      <c r="S34" s="8">
        <f t="shared" si="1"/>
        <v>0</v>
      </c>
      <c r="T34" s="8">
        <f t="shared" si="2"/>
        <v>0</v>
      </c>
      <c r="U34">
        <v>0</v>
      </c>
      <c r="V34" s="8">
        <f t="shared" si="3"/>
        <v>-0.31</v>
      </c>
      <c r="W34" s="9"/>
    </row>
    <row r="35" spans="1:23" s="8" customFormat="1" x14ac:dyDescent="0.25">
      <c r="A35" s="9"/>
      <c r="B35" s="9"/>
      <c r="E35" s="9"/>
      <c r="F35" s="9"/>
      <c r="G35" s="9"/>
      <c r="H35" s="9"/>
      <c r="I35" s="9"/>
      <c r="J35" s="9"/>
      <c r="K35" s="9"/>
      <c r="L35" s="10"/>
      <c r="M35" s="9"/>
      <c r="N35" s="9"/>
      <c r="O35" s="12"/>
      <c r="P35" s="11">
        <v>0.31</v>
      </c>
      <c r="Q35" s="9">
        <v>18</v>
      </c>
      <c r="R35" s="8">
        <f t="shared" si="0"/>
        <v>0</v>
      </c>
      <c r="S35" s="8">
        <f t="shared" si="1"/>
        <v>0</v>
      </c>
      <c r="T35" s="8">
        <f t="shared" si="2"/>
        <v>0</v>
      </c>
      <c r="U35">
        <v>0</v>
      </c>
      <c r="V35" s="8">
        <f t="shared" si="3"/>
        <v>-0.31</v>
      </c>
      <c r="W35" s="9"/>
    </row>
    <row r="36" spans="1:23" s="8" customFormat="1" x14ac:dyDescent="0.25">
      <c r="A36" s="9"/>
      <c r="B36" s="9"/>
      <c r="E36" s="9"/>
      <c r="F36" s="9"/>
      <c r="G36" s="9"/>
      <c r="H36" s="9"/>
      <c r="I36" s="9"/>
      <c r="J36" s="9"/>
      <c r="K36" s="9"/>
      <c r="L36" s="10"/>
      <c r="M36" s="9"/>
      <c r="N36" s="9"/>
      <c r="O36" s="12"/>
      <c r="P36" s="11">
        <v>0.31</v>
      </c>
      <c r="Q36" s="9">
        <v>5</v>
      </c>
      <c r="R36" s="8">
        <f t="shared" si="0"/>
        <v>0</v>
      </c>
      <c r="S36" s="8">
        <f t="shared" si="1"/>
        <v>0</v>
      </c>
      <c r="T36" s="8">
        <f t="shared" si="2"/>
        <v>0</v>
      </c>
      <c r="U36">
        <v>0</v>
      </c>
      <c r="V36" s="8">
        <f t="shared" si="3"/>
        <v>-0.31</v>
      </c>
      <c r="W36" s="9"/>
    </row>
    <row r="37" spans="1:23" s="8" customFormat="1" x14ac:dyDescent="0.25">
      <c r="A37" s="9"/>
      <c r="B37" s="9"/>
      <c r="E37" s="9"/>
      <c r="F37" s="9"/>
      <c r="G37" s="9"/>
      <c r="H37" s="9"/>
      <c r="I37" s="9"/>
      <c r="J37" s="9"/>
      <c r="K37" s="9"/>
      <c r="L37" s="10"/>
      <c r="M37" s="9"/>
      <c r="N37" s="9"/>
      <c r="O37" s="12"/>
      <c r="P37" s="11">
        <v>0.31</v>
      </c>
      <c r="Q37" s="9">
        <v>18</v>
      </c>
      <c r="R37" s="8">
        <f t="shared" si="0"/>
        <v>0</v>
      </c>
      <c r="S37" s="8">
        <f t="shared" si="1"/>
        <v>0</v>
      </c>
      <c r="T37" s="8">
        <f t="shared" si="2"/>
        <v>0</v>
      </c>
      <c r="U37">
        <v>0</v>
      </c>
      <c r="V37" s="8">
        <f t="shared" si="3"/>
        <v>-0.31</v>
      </c>
      <c r="W37" s="9"/>
    </row>
    <row r="38" spans="1:23" s="8" customFormat="1" x14ac:dyDescent="0.25">
      <c r="A38" s="9"/>
      <c r="B38" s="9"/>
      <c r="E38" s="9"/>
      <c r="F38" s="9"/>
      <c r="G38" s="9"/>
      <c r="H38" s="9"/>
      <c r="I38" s="9"/>
      <c r="J38" s="9"/>
      <c r="K38" s="9"/>
      <c r="L38" s="10"/>
      <c r="M38" s="9"/>
      <c r="N38" s="9"/>
      <c r="O38" s="12"/>
      <c r="P38" s="11">
        <v>0.31</v>
      </c>
      <c r="Q38" s="9">
        <v>5</v>
      </c>
      <c r="R38" s="8">
        <f t="shared" si="0"/>
        <v>0</v>
      </c>
      <c r="S38" s="8">
        <f t="shared" si="1"/>
        <v>0</v>
      </c>
      <c r="T38" s="8">
        <f t="shared" si="2"/>
        <v>0</v>
      </c>
      <c r="U38">
        <v>0</v>
      </c>
      <c r="V38" s="8">
        <f t="shared" si="3"/>
        <v>-0.31</v>
      </c>
      <c r="W38" s="9"/>
    </row>
    <row r="39" spans="1:23" s="8" customFormat="1" x14ac:dyDescent="0.25">
      <c r="A39" s="9"/>
      <c r="B39" s="9"/>
      <c r="E39" s="9"/>
      <c r="F39" s="9"/>
      <c r="G39" s="9"/>
      <c r="H39" s="9"/>
      <c r="I39" s="9"/>
      <c r="J39" s="9"/>
      <c r="K39" s="9"/>
      <c r="L39" s="10"/>
      <c r="M39" s="9"/>
      <c r="N39" s="9"/>
      <c r="O39" s="12"/>
      <c r="P39" s="11">
        <v>0.31</v>
      </c>
      <c r="Q39" s="9">
        <v>18</v>
      </c>
      <c r="R39" s="8">
        <f t="shared" si="0"/>
        <v>0</v>
      </c>
      <c r="S39" s="8">
        <f t="shared" si="1"/>
        <v>0</v>
      </c>
      <c r="T39" s="8">
        <f t="shared" si="2"/>
        <v>0</v>
      </c>
      <c r="U39">
        <v>0</v>
      </c>
      <c r="V39" s="8">
        <f t="shared" si="3"/>
        <v>-0.31</v>
      </c>
      <c r="W39" s="9"/>
    </row>
    <row r="40" spans="1:23" s="8" customFormat="1" x14ac:dyDescent="0.25">
      <c r="A40" s="9"/>
      <c r="B40" s="9"/>
      <c r="E40" s="9"/>
      <c r="F40" s="9"/>
      <c r="G40" s="9"/>
      <c r="H40" s="9"/>
      <c r="I40" s="9"/>
      <c r="J40" s="9"/>
      <c r="K40" s="9"/>
      <c r="L40" s="10"/>
      <c r="M40" s="9"/>
      <c r="N40" s="9"/>
      <c r="O40" s="12"/>
      <c r="P40" s="11">
        <v>0.31</v>
      </c>
      <c r="Q40" s="9">
        <v>18</v>
      </c>
      <c r="R40" s="8">
        <f t="shared" si="0"/>
        <v>0</v>
      </c>
      <c r="S40" s="8">
        <f t="shared" si="1"/>
        <v>0</v>
      </c>
      <c r="T40" s="8">
        <f t="shared" si="2"/>
        <v>0</v>
      </c>
      <c r="U40">
        <v>0</v>
      </c>
      <c r="V40" s="8">
        <f t="shared" si="3"/>
        <v>-0.31</v>
      </c>
      <c r="W40" s="9"/>
    </row>
    <row r="41" spans="1:23" s="8" customFormat="1" x14ac:dyDescent="0.25">
      <c r="A41" s="9"/>
      <c r="B41" s="9"/>
      <c r="E41" s="9"/>
      <c r="F41" s="9"/>
      <c r="G41" s="9"/>
      <c r="H41" s="9"/>
      <c r="I41" s="9"/>
      <c r="J41" s="9"/>
      <c r="K41" s="9"/>
      <c r="L41" s="10"/>
      <c r="M41" s="9"/>
      <c r="N41" s="9"/>
      <c r="O41" s="12"/>
      <c r="P41" s="11">
        <v>0.31</v>
      </c>
      <c r="Q41" s="9">
        <v>18</v>
      </c>
      <c r="R41" s="8">
        <f t="shared" si="0"/>
        <v>0</v>
      </c>
      <c r="S41" s="8">
        <f t="shared" si="1"/>
        <v>0</v>
      </c>
      <c r="T41" s="8">
        <f t="shared" si="2"/>
        <v>0</v>
      </c>
      <c r="U41">
        <v>0</v>
      </c>
      <c r="V41" s="8">
        <f t="shared" si="3"/>
        <v>-0.31</v>
      </c>
      <c r="W41" s="9"/>
    </row>
    <row r="42" spans="1:23" s="8" customFormat="1" x14ac:dyDescent="0.25">
      <c r="A42" s="9"/>
      <c r="B42" s="9"/>
      <c r="E42" s="9"/>
      <c r="F42" s="9"/>
      <c r="G42" s="9"/>
      <c r="H42" s="9"/>
      <c r="I42" s="9"/>
      <c r="J42" s="9"/>
      <c r="K42" s="9"/>
      <c r="L42" s="10"/>
      <c r="M42" s="9"/>
      <c r="N42" s="9"/>
      <c r="O42" s="12"/>
      <c r="P42" s="11">
        <v>0.31</v>
      </c>
      <c r="Q42" s="9">
        <v>18</v>
      </c>
      <c r="R42" s="8">
        <f t="shared" si="0"/>
        <v>0</v>
      </c>
      <c r="S42" s="8">
        <f t="shared" si="1"/>
        <v>0</v>
      </c>
      <c r="T42" s="8">
        <f t="shared" si="2"/>
        <v>0</v>
      </c>
      <c r="U42">
        <v>0</v>
      </c>
      <c r="V42" s="8">
        <f t="shared" si="3"/>
        <v>-0.31</v>
      </c>
      <c r="W42" s="9"/>
    </row>
    <row r="43" spans="1:23" s="8" customFormat="1" x14ac:dyDescent="0.25">
      <c r="A43" s="9"/>
      <c r="B43" s="9"/>
      <c r="E43" s="9"/>
      <c r="F43" s="9"/>
      <c r="G43" s="9"/>
      <c r="H43" s="9"/>
      <c r="I43" s="9"/>
      <c r="J43" s="9"/>
      <c r="K43" s="9"/>
      <c r="L43" s="10"/>
      <c r="M43" s="9"/>
      <c r="N43" s="9"/>
      <c r="O43" s="12"/>
      <c r="P43" s="11">
        <v>0.31</v>
      </c>
      <c r="Q43" s="9">
        <v>18</v>
      </c>
      <c r="R43" s="8">
        <f t="shared" si="0"/>
        <v>0</v>
      </c>
      <c r="S43" s="8">
        <f t="shared" si="1"/>
        <v>0</v>
      </c>
      <c r="T43" s="8">
        <f t="shared" si="2"/>
        <v>0</v>
      </c>
      <c r="U43">
        <v>0</v>
      </c>
      <c r="V43" s="8">
        <f t="shared" si="3"/>
        <v>-0.31</v>
      </c>
      <c r="W43" s="9"/>
    </row>
    <row r="44" spans="1:23" s="8" customFormat="1" x14ac:dyDescent="0.25">
      <c r="A44" s="9"/>
      <c r="B44" s="9"/>
      <c r="E44" s="9"/>
      <c r="F44" s="9"/>
      <c r="G44" s="9"/>
      <c r="H44" s="9"/>
      <c r="I44" s="9"/>
      <c r="J44" s="9"/>
      <c r="K44" s="9"/>
      <c r="L44" s="10"/>
      <c r="M44" s="9"/>
      <c r="N44" s="9"/>
      <c r="O44" s="12"/>
      <c r="P44" s="11"/>
      <c r="Q44" s="9"/>
      <c r="R44" s="13"/>
      <c r="S44" s="13"/>
      <c r="T44" s="13"/>
      <c r="U44"/>
      <c r="V44" s="13"/>
      <c r="W44" s="9"/>
    </row>
    <row r="45" spans="1:23" s="8" customFormat="1" x14ac:dyDescent="0.25">
      <c r="A45" s="9"/>
      <c r="B45" s="9"/>
      <c r="E45" s="9"/>
      <c r="F45" s="9"/>
      <c r="G45" s="9"/>
      <c r="H45" s="9"/>
      <c r="I45" s="9"/>
      <c r="J45" s="9"/>
      <c r="K45" s="9"/>
      <c r="L45" s="10"/>
      <c r="M45" s="9"/>
      <c r="N45" s="9"/>
      <c r="O45" s="12"/>
      <c r="P45" s="11"/>
      <c r="Q45" s="9"/>
      <c r="R45" s="13"/>
      <c r="S45" s="13"/>
      <c r="T45" s="13"/>
      <c r="U45"/>
      <c r="V45" s="13"/>
      <c r="W45" s="9"/>
    </row>
    <row r="46" spans="1:23" s="8" customFormat="1" x14ac:dyDescent="0.25">
      <c r="A46" s="9"/>
      <c r="B46" s="9"/>
      <c r="E46" s="9"/>
      <c r="F46" s="9"/>
      <c r="G46" s="9"/>
      <c r="H46" s="9"/>
      <c r="I46" s="9"/>
      <c r="J46" s="9"/>
      <c r="K46" s="9"/>
      <c r="L46" s="10"/>
      <c r="M46" s="9"/>
      <c r="N46" s="9"/>
      <c r="O46" s="12"/>
      <c r="P46" s="11"/>
      <c r="Q46" s="9"/>
      <c r="R46" s="13"/>
      <c r="S46" s="13"/>
      <c r="T46" s="13"/>
      <c r="U46"/>
      <c r="V46" s="13"/>
      <c r="W46" s="9"/>
    </row>
    <row r="47" spans="1:23" x14ac:dyDescent="0.25">
      <c r="A47" s="9"/>
      <c r="B47" s="14"/>
      <c r="G47" s="14"/>
      <c r="H47" s="14"/>
      <c r="I47" s="14"/>
      <c r="J47" s="14"/>
    </row>
    <row r="48" spans="1:23" x14ac:dyDescent="0.25">
      <c r="A48" s="9"/>
      <c r="B48" s="14"/>
      <c r="G48" s="14"/>
      <c r="H48" s="14"/>
      <c r="I48" s="14"/>
      <c r="J48" s="14"/>
    </row>
    <row r="49" spans="1:10" x14ac:dyDescent="0.25">
      <c r="A49" s="9"/>
      <c r="B49" s="14"/>
      <c r="G49" s="14"/>
      <c r="H49" s="14"/>
      <c r="I49" s="14"/>
      <c r="J49" s="14"/>
    </row>
    <row r="50" spans="1:10" x14ac:dyDescent="0.25">
      <c r="A50" s="9"/>
      <c r="B50" s="14"/>
      <c r="G50" s="14"/>
      <c r="H50" s="14"/>
      <c r="I50" s="14"/>
      <c r="J50" s="14"/>
    </row>
    <row r="51" spans="1:10" x14ac:dyDescent="0.25">
      <c r="A51" s="9"/>
      <c r="B51" s="14"/>
      <c r="G51" s="14"/>
      <c r="H51" s="14"/>
      <c r="I51" s="14"/>
      <c r="J51" s="14"/>
    </row>
    <row r="52" spans="1:10" x14ac:dyDescent="0.25">
      <c r="A52" s="9"/>
      <c r="B52" s="14"/>
      <c r="G52" s="14"/>
      <c r="H52" s="14"/>
      <c r="I52" s="14"/>
      <c r="J52" s="14"/>
    </row>
  </sheetData>
  <dataValidations count="2">
    <dataValidation type="whole" operator="greaterThan" showErrorMessage="1" errorTitle="Zero" error="The value must not be Zero or decimal" sqref="D2:E46" xr:uid="{00000000-0002-0000-0100-000000000000}">
      <formula1>0</formula1>
    </dataValidation>
    <dataValidation type="list" allowBlank="1" sqref="Q2:Q46" xr:uid="{00000000-0002-0000-0100-000002000000}">
      <formula1>"0,3,5,18"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InvoiceList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2026-05-30T07:21:52Z</dcterms:created>
  <dcterms:modified xsi:type="dcterms:W3CDTF">2026-10-13T12:01:34Z</dcterms:modified>
  <cp:category/>
</cp:coreProperties>
</file>